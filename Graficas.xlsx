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.cojom\Downloads\"/>
    </mc:Choice>
  </mc:AlternateContent>
  <xr:revisionPtr revIDLastSave="0" documentId="13_ncr:1_{66A01556-CCCF-469A-BCF6-6DE589D9665D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<sst xmlns="http://schemas.openxmlformats.org/spreadsheetml/2006/main" count="201" uniqueCount="67">
  <si>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</si>
  <si>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</si>
  <si>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</si>
  <si>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</si>
  <si>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</si>
  <si>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</si>
  <si>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</si>
  <si>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</si>
  <si>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</si>
  <si>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</si>
  <si>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</si>
  <si>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</si>
  <si>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</si>
  <si>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</si>
  <si>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</si>
  <si>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</si>
  <si>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</si>
  <si>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</si>
  <si>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</si>
  <si>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</si>
  <si>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</si>
  <si>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</si>
  <si>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</si>
  <si>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</si>
  <si>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</si>
  <si>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</si>
  <si>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</si>
  <si>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</si>
  <si>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</si>
  <si>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</si>
  <si>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</si>
  <si>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</si>
  <si>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</si>
  <si>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</si>
  <si>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</si>
  <si>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</si>
  <si>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</si>
  <si>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</si>
  <si>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</si>
  <si>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</si>
  <si>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</si>
  <si>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</si>
  <si>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</si>
  <si>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</si>
  <si>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</si>
  <si>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</si>
  <si>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</si>
  <si>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</si>
  <si>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</si>
  <si>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</si>
  <si>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</si>
  <si>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</si>
  <si>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</si>
  <si>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</si>
  <si>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</si>
  <si>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(escribe aqui)</t>
  </si>
  <si>
    <t>Si / No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</si>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</sst>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1.7399999999999998E-3</c:v>
                </c:pt>
                <c:pt idx="1">
                  <c:v>3.3E-3</c:v>
                </c:pt>
                <c:pt idx="2">
                  <c:v>2.3799999999999997E-3</c:v>
                </c:pt>
                <c:pt idx="3">
                  <c:v>1.8800000000000002E-3</c:v>
                </c:pt>
                <c:pt idx="4">
                  <c:v>2.16E-3</c:v>
                </c:pt>
                <c:pt idx="5">
                  <c:v>1.8800000000000004E-3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1.0200000000000001E-3</c:v>
                </c:pt>
                <c:pt idx="1">
                  <c:v>1.14E-3</c:v>
                </c:pt>
                <c:pt idx="2">
                  <c:v>1.5799999999999998E-3</c:v>
                </c:pt>
                <c:pt idx="3">
                  <c:v>1.3600000000000001E-3</c:v>
                </c:pt>
                <c:pt idx="4">
                  <c:v>1.5200000000000001E-3</c:v>
                </c:pt>
                <c:pt idx="5">
                  <c:v>1.5200000000000001E-3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2.32E-3</c:v>
                </c:pt>
                <c:pt idx="1">
                  <c:v>2.0200000000000001E-3</c:v>
                </c:pt>
                <c:pt idx="2">
                  <c:v>2.1199999999999999E-3</c:v>
                </c:pt>
                <c:pt idx="3">
                  <c:v>2.0200000000000001E-3</c:v>
                </c:pt>
                <c:pt idx="4">
                  <c:v>2.3E-3</c:v>
                </c:pt>
                <c:pt idx="5">
                  <c:v>6.4399999999999995E-3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9.3399999999999993E-3</c:v>
                </c:pt>
                <c:pt idx="1">
                  <c:v>6.3799999999999994E-3</c:v>
                </c:pt>
                <c:pt idx="2">
                  <c:v>7.442E-2</c:v>
                </c:pt>
                <c:pt idx="3">
                  <c:v>0.46772000000000002</c:v>
                </c:pt>
                <c:pt idx="4">
                  <c:v>1.18424</c:v>
                </c:pt>
                <c:pt idx="5">
                  <c:v>4.5662000000000003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1.56E-3</c:v>
                </c:pt>
                <c:pt idx="1">
                  <c:v>1.6999999999999997E-3</c:v>
                </c:pt>
                <c:pt idx="2">
                  <c:v>1.6400000000000002E-3</c:v>
                </c:pt>
                <c:pt idx="3">
                  <c:v>2.0599999999999998E-3</c:v>
                </c:pt>
                <c:pt idx="4">
                  <c:v>1.8400000000000001E-3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9.6000000000000013E-4</c:v>
                </c:pt>
                <c:pt idx="1">
                  <c:v>1.2399999999999998E-3</c:v>
                </c:pt>
                <c:pt idx="2">
                  <c:v>1.3600000000000001E-3</c:v>
                </c:pt>
                <c:pt idx="3">
                  <c:v>1.14E-3</c:v>
                </c:pt>
                <c:pt idx="4">
                  <c:v>8.8000000000000003E-4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ES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13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3"/>
    <row r="2" spans="2:4" ht="36" customHeight="1" x14ac:dyDescent="0.3">
      <c r="B2" s="36" t="s">
        <v>0</v>
      </c>
      <c r="C2" s="36"/>
      <c r="D2" s="36"/>
    </row>
    <row r="3" spans="2:4" ht="21.75" customHeight="1" x14ac:dyDescent="0.3">
      <c r="B3" s="37" t="s">
        <v>1</v>
      </c>
      <c r="C3" s="37"/>
      <c r="D3" s="37"/>
    </row>
    <row r="4" spans="2:4" ht="9.75" customHeight="1" x14ac:dyDescent="0.3"/>
    <row r="5" spans="2:4" ht="27.75" customHeight="1" x14ac:dyDescent="0.3">
      <c r="B5" s="31" t="s">
        <v>2</v>
      </c>
      <c r="C5" s="35" t="s">
        <v>3</v>
      </c>
      <c r="D5" s="35"/>
    </row>
    <row r="6" spans="2:4" ht="60" customHeight="1" x14ac:dyDescent="0.3">
      <c r="B6" s="31"/>
      <c r="C6" s="33"/>
      <c r="D6" s="33"/>
    </row>
    <row r="7" spans="2:4" ht="6" customHeight="1" x14ac:dyDescent="0.3"/>
    <row r="8" spans="2:4" ht="27.75" customHeight="1" x14ac:dyDescent="0.3">
      <c r="B8" s="31" t="s">
        <v>4</v>
      </c>
      <c r="C8" s="32" t="s">
        <v>5</v>
      </c>
      <c r="D8" s="32"/>
    </row>
    <row r="9" spans="2:4" ht="117.75" customHeight="1" x14ac:dyDescent="0.3">
      <c r="B9" s="31"/>
      <c r="C9" s="33"/>
      <c r="D9" s="33"/>
    </row>
    <row r="10" spans="2:4" ht="6" customHeight="1" x14ac:dyDescent="0.3"/>
    <row r="11" spans="2:4" ht="27.75" customHeight="1" x14ac:dyDescent="0.3">
      <c r="B11" s="31" t="s">
        <v>6</v>
      </c>
      <c r="C11" s="32" t="s">
        <v>7</v>
      </c>
      <c r="D11" s="32"/>
    </row>
    <row r="12" spans="2:4" ht="81.75" customHeight="1" x14ac:dyDescent="0.3">
      <c r="B12" s="31"/>
      <c r="C12" s="33"/>
      <c r="D12" s="33"/>
    </row>
    <row r="13" spans="2:4" ht="6" customHeight="1" x14ac:dyDescent="0.3"/>
    <row r="14" spans="2:4" ht="27.75" customHeight="1" x14ac:dyDescent="0.3">
      <c r="B14" s="31" t="s">
        <v>8</v>
      </c>
      <c r="C14" s="34" t="s">
        <v>9</v>
      </c>
      <c r="D14" s="34"/>
    </row>
    <row r="15" spans="2:4" ht="99.75" customHeight="1" x14ac:dyDescent="0.3">
      <c r="B15" s="31"/>
      <c r="C15" s="33"/>
      <c r="D15" s="33"/>
    </row>
    <row r="16" spans="2:4" ht="6" customHeight="1" x14ac:dyDescent="0.3"/>
    <row r="17" spans="2:4" ht="27.75" customHeight="1" x14ac:dyDescent="0.3">
      <c r="B17" s="31" t="s">
        <v>10</v>
      </c>
      <c r="C17" s="35" t="s">
        <v>11</v>
      </c>
      <c r="D17" s="35"/>
    </row>
    <row r="18" spans="2:4" ht="99.75" customHeight="1" x14ac:dyDescent="0.3">
      <c r="B18" s="31"/>
      <c r="C18" s="33"/>
      <c r="D18" s="33"/>
    </row>
    <row r="19" spans="2:4" ht="6" customHeight="1" x14ac:dyDescent="0.3"/>
    <row r="20" spans="2:4" ht="27.75" customHeight="1" x14ac:dyDescent="0.3">
      <c r="B20" s="31" t="s">
        <v>12</v>
      </c>
      <c r="C20" s="32" t="s">
        <v>13</v>
      </c>
      <c r="D20" s="32"/>
    </row>
    <row r="21" spans="2:4" ht="81.75" customHeight="1" x14ac:dyDescent="0.3">
      <c r="B21" s="31"/>
      <c r="C21" s="33"/>
      <c r="D21" s="33"/>
    </row>
    <row r="22" spans="2:4" ht="6" customHeight="1" x14ac:dyDescent="0.3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tabSelected="1" zoomScaleNormal="100" workbookViewId="0">
      <pane ySplit="2" topLeftCell="A3" activePane="bottomLeft" state="frozen"/>
      <selection pane="bottomLeft" activeCell="M42" sqref="M42"/>
    </sheetView>
  </sheetViews>
  <sheetFormatPr baseColWidth="10" defaultColWidth="8.6640625" defaultRowHeight="15" customHeight="1" x14ac:dyDescent="0.3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3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3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3">
      <c r="B3" s="3" t="s">
        <v>24</v>
      </c>
      <c r="C3" s="4" t="s">
        <v>25</v>
      </c>
      <c r="D3" s="5">
        <v>5</v>
      </c>
      <c r="E3" s="6">
        <v>1.8E-3</v>
      </c>
      <c r="F3" s="6">
        <v>1.2999999999999999E-3</v>
      </c>
      <c r="G3" s="6">
        <v>1.6999999999999999E-3</v>
      </c>
      <c r="H3" s="6">
        <v>1.9E-3</v>
      </c>
      <c r="I3" s="6">
        <v>2E-3</v>
      </c>
      <c r="J3" s="7">
        <f t="shared" ref="J3:J14" si="0">AVERAGE(E3:I3)</f>
        <v>1.7399999999999998E-3</v>
      </c>
    </row>
    <row r="4" spans="2:10" ht="18" customHeight="1" x14ac:dyDescent="0.3">
      <c r="B4" s="3" t="s">
        <v>24</v>
      </c>
      <c r="C4" s="4" t="s">
        <v>25</v>
      </c>
      <c r="D4" s="5">
        <v>10</v>
      </c>
      <c r="E4" s="6">
        <v>1.2999999999999999E-3</v>
      </c>
      <c r="F4" s="6">
        <v>1.6000000000000001E-3</v>
      </c>
      <c r="G4" s="6">
        <v>9.9000000000000008E-3</v>
      </c>
      <c r="H4" s="6">
        <v>1.6999999999999999E-3</v>
      </c>
      <c r="I4" s="6">
        <v>2E-3</v>
      </c>
      <c r="J4" s="7">
        <f t="shared" si="0"/>
        <v>3.3E-3</v>
      </c>
    </row>
    <row r="5" spans="2:10" ht="18" customHeight="1" x14ac:dyDescent="0.3">
      <c r="B5" s="3" t="s">
        <v>24</v>
      </c>
      <c r="C5" s="4" t="s">
        <v>25</v>
      </c>
      <c r="D5" s="5">
        <v>15</v>
      </c>
      <c r="E5" s="6">
        <v>1.2999999999999999E-3</v>
      </c>
      <c r="F5" s="6">
        <v>5.4999999999999997E-3</v>
      </c>
      <c r="G5" s="6">
        <v>1.9E-3</v>
      </c>
      <c r="H5" s="6">
        <v>1.8E-3</v>
      </c>
      <c r="I5" s="6">
        <v>1.4E-3</v>
      </c>
      <c r="J5" s="7">
        <f t="shared" si="0"/>
        <v>2.3799999999999997E-3</v>
      </c>
    </row>
    <row r="6" spans="2:10" ht="18" customHeight="1" x14ac:dyDescent="0.3">
      <c r="B6" s="3" t="s">
        <v>24</v>
      </c>
      <c r="C6" s="4" t="s">
        <v>25</v>
      </c>
      <c r="D6" s="5">
        <v>20</v>
      </c>
      <c r="E6" s="6">
        <v>1.4E-3</v>
      </c>
      <c r="F6" s="6">
        <v>1.9E-3</v>
      </c>
      <c r="G6" s="6">
        <v>2.0999999999999999E-3</v>
      </c>
      <c r="H6" s="6">
        <v>1.9E-3</v>
      </c>
      <c r="I6" s="6">
        <v>2.0999999999999999E-3</v>
      </c>
      <c r="J6" s="7">
        <f t="shared" si="0"/>
        <v>1.8800000000000002E-3</v>
      </c>
    </row>
    <row r="7" spans="2:10" ht="18" customHeight="1" x14ac:dyDescent="0.3">
      <c r="B7" s="3" t="s">
        <v>24</v>
      </c>
      <c r="C7" s="4" t="s">
        <v>25</v>
      </c>
      <c r="D7" s="5">
        <v>25</v>
      </c>
      <c r="E7" s="6">
        <v>1.4E-3</v>
      </c>
      <c r="F7" s="6">
        <v>2.5999999999999999E-3</v>
      </c>
      <c r="G7" s="6">
        <v>2.2000000000000001E-3</v>
      </c>
      <c r="H7" s="6">
        <v>2E-3</v>
      </c>
      <c r="I7" s="6">
        <v>2.5999999999999999E-3</v>
      </c>
      <c r="J7" s="7">
        <f t="shared" si="0"/>
        <v>2.16E-3</v>
      </c>
    </row>
    <row r="8" spans="2:10" ht="18" customHeight="1" x14ac:dyDescent="0.3">
      <c r="B8" s="3" t="s">
        <v>24</v>
      </c>
      <c r="C8" s="4" t="s">
        <v>25</v>
      </c>
      <c r="D8" s="5">
        <v>30</v>
      </c>
      <c r="E8" s="6">
        <v>1.5E-3</v>
      </c>
      <c r="F8" s="6">
        <v>1.9E-3</v>
      </c>
      <c r="G8" s="6">
        <v>2.2000000000000001E-3</v>
      </c>
      <c r="H8" s="6">
        <v>2.2000000000000001E-3</v>
      </c>
      <c r="I8" s="6">
        <v>1.6000000000000001E-3</v>
      </c>
      <c r="J8" s="7">
        <f t="shared" si="0"/>
        <v>1.8800000000000004E-3</v>
      </c>
    </row>
    <row r="9" spans="2:10" ht="18" customHeight="1" x14ac:dyDescent="0.3">
      <c r="B9" s="8" t="s">
        <v>24</v>
      </c>
      <c r="C9" s="9" t="s">
        <v>26</v>
      </c>
      <c r="D9" s="10">
        <v>5</v>
      </c>
      <c r="E9" s="6">
        <v>1.1000000000000001E-3</v>
      </c>
      <c r="F9" s="6">
        <v>6.9999999999999999E-4</v>
      </c>
      <c r="G9" s="6">
        <v>1.1000000000000001E-3</v>
      </c>
      <c r="H9" s="6">
        <v>1.1000000000000001E-3</v>
      </c>
      <c r="I9" s="6">
        <v>1.1000000000000001E-3</v>
      </c>
      <c r="J9" s="7">
        <f t="shared" si="0"/>
        <v>1.0200000000000001E-3</v>
      </c>
    </row>
    <row r="10" spans="2:10" ht="18" customHeight="1" x14ac:dyDescent="0.3">
      <c r="B10" s="8" t="s">
        <v>24</v>
      </c>
      <c r="C10" s="9" t="s">
        <v>26</v>
      </c>
      <c r="D10" s="10">
        <v>10</v>
      </c>
      <c r="E10" s="6">
        <v>8.0000000000000004E-4</v>
      </c>
      <c r="F10" s="6">
        <v>1.1000000000000001E-3</v>
      </c>
      <c r="G10" s="6">
        <v>1.2999999999999999E-3</v>
      </c>
      <c r="H10" s="6">
        <v>1.1999999999999999E-3</v>
      </c>
      <c r="I10" s="6">
        <v>1.2999999999999999E-3</v>
      </c>
      <c r="J10" s="7">
        <f t="shared" si="0"/>
        <v>1.14E-3</v>
      </c>
    </row>
    <row r="11" spans="2:10" ht="18" customHeight="1" x14ac:dyDescent="0.3">
      <c r="B11" s="8" t="s">
        <v>24</v>
      </c>
      <c r="C11" s="9" t="s">
        <v>26</v>
      </c>
      <c r="D11" s="10">
        <v>15</v>
      </c>
      <c r="E11" s="6">
        <v>8.9999999999999998E-4</v>
      </c>
      <c r="F11" s="6">
        <v>3.5999999999999999E-3</v>
      </c>
      <c r="G11" s="6">
        <v>1.2999999999999999E-3</v>
      </c>
      <c r="H11" s="6">
        <v>1.1999999999999999E-3</v>
      </c>
      <c r="I11" s="6">
        <v>8.9999999999999998E-4</v>
      </c>
      <c r="J11" s="7">
        <f t="shared" si="0"/>
        <v>1.5799999999999998E-3</v>
      </c>
    </row>
    <row r="12" spans="2:10" ht="18" customHeight="1" x14ac:dyDescent="0.3">
      <c r="B12" s="8" t="s">
        <v>24</v>
      </c>
      <c r="C12" s="9" t="s">
        <v>26</v>
      </c>
      <c r="D12" s="10">
        <v>20</v>
      </c>
      <c r="E12" s="6">
        <v>1E-3</v>
      </c>
      <c r="F12" s="6">
        <v>1.5E-3</v>
      </c>
      <c r="G12" s="6">
        <v>1.5E-3</v>
      </c>
      <c r="H12" s="6">
        <v>1.2999999999999999E-3</v>
      </c>
      <c r="I12" s="6">
        <v>1.5E-3</v>
      </c>
      <c r="J12" s="7">
        <f t="shared" si="0"/>
        <v>1.3600000000000001E-3</v>
      </c>
    </row>
    <row r="13" spans="2:10" ht="18" customHeight="1" x14ac:dyDescent="0.3">
      <c r="B13" s="8" t="s">
        <v>24</v>
      </c>
      <c r="C13" s="9" t="s">
        <v>26</v>
      </c>
      <c r="D13" s="10">
        <v>25</v>
      </c>
      <c r="E13" s="6">
        <v>1.1000000000000001E-3</v>
      </c>
      <c r="F13" s="6">
        <v>1.6000000000000001E-3</v>
      </c>
      <c r="G13" s="6">
        <v>1.6000000000000001E-3</v>
      </c>
      <c r="H13" s="6">
        <v>1.6000000000000001E-3</v>
      </c>
      <c r="I13" s="6">
        <v>1.6999999999999999E-3</v>
      </c>
      <c r="J13" s="7">
        <f t="shared" si="0"/>
        <v>1.5200000000000001E-3</v>
      </c>
    </row>
    <row r="14" spans="2:10" ht="18" customHeight="1" x14ac:dyDescent="0.3">
      <c r="B14" s="8" t="s">
        <v>24</v>
      </c>
      <c r="C14" s="9" t="s">
        <v>26</v>
      </c>
      <c r="D14" s="10">
        <v>30</v>
      </c>
      <c r="E14" s="6">
        <v>1.1999999999999999E-3</v>
      </c>
      <c r="F14" s="6">
        <v>1.8E-3</v>
      </c>
      <c r="G14" s="6">
        <v>1.6999999999999999E-3</v>
      </c>
      <c r="H14" s="6">
        <v>1.6999999999999999E-3</v>
      </c>
      <c r="I14" s="6">
        <v>1.1999999999999999E-3</v>
      </c>
      <c r="J14" s="7">
        <f t="shared" si="0"/>
        <v>1.5200000000000001E-3</v>
      </c>
    </row>
    <row r="16" spans="2:10" ht="18" customHeight="1" x14ac:dyDescent="0.3">
      <c r="B16" s="3" t="s">
        <v>27</v>
      </c>
      <c r="C16" s="4" t="s">
        <v>25</v>
      </c>
      <c r="D16" s="5">
        <v>5</v>
      </c>
      <c r="E16" s="6">
        <v>3.3E-3</v>
      </c>
      <c r="F16" s="6">
        <v>1.9E-3</v>
      </c>
      <c r="G16" s="6">
        <v>1.8E-3</v>
      </c>
      <c r="H16" s="6">
        <v>2.5000000000000001E-3</v>
      </c>
      <c r="I16" s="6">
        <v>2.0999999999999999E-3</v>
      </c>
      <c r="J16" s="7">
        <f t="shared" ref="J16:J27" si="1">AVERAGE(E16:I16)</f>
        <v>2.32E-3</v>
      </c>
    </row>
    <row r="17" spans="2:10" ht="18" customHeight="1" x14ac:dyDescent="0.3">
      <c r="B17" s="3" t="s">
        <v>27</v>
      </c>
      <c r="C17" s="4" t="s">
        <v>25</v>
      </c>
      <c r="D17" s="5">
        <v>10</v>
      </c>
      <c r="E17" s="6">
        <v>2E-3</v>
      </c>
      <c r="F17" s="6">
        <v>1.5E-3</v>
      </c>
      <c r="G17" s="6">
        <v>2.2000000000000001E-3</v>
      </c>
      <c r="H17" s="6">
        <v>2.2000000000000001E-3</v>
      </c>
      <c r="I17" s="6">
        <v>2.2000000000000001E-3</v>
      </c>
      <c r="J17" s="7">
        <f t="shared" si="1"/>
        <v>2.0200000000000001E-3</v>
      </c>
    </row>
    <row r="18" spans="2:10" ht="18" customHeight="1" x14ac:dyDescent="0.3">
      <c r="B18" s="3" t="s">
        <v>27</v>
      </c>
      <c r="C18" s="4" t="s">
        <v>25</v>
      </c>
      <c r="D18" s="5">
        <v>15</v>
      </c>
      <c r="E18" s="6">
        <v>2.2000000000000001E-3</v>
      </c>
      <c r="F18" s="6">
        <v>1.8E-3</v>
      </c>
      <c r="G18" s="6">
        <v>2E-3</v>
      </c>
      <c r="H18" s="6">
        <v>2.2000000000000001E-3</v>
      </c>
      <c r="I18" s="6">
        <v>2.3999999999999998E-3</v>
      </c>
      <c r="J18" s="7">
        <f t="shared" si="1"/>
        <v>2.1199999999999999E-3</v>
      </c>
    </row>
    <row r="19" spans="2:10" ht="18" customHeight="1" x14ac:dyDescent="0.3">
      <c r="B19" s="3" t="s">
        <v>27</v>
      </c>
      <c r="C19" s="4" t="s">
        <v>25</v>
      </c>
      <c r="D19" s="5">
        <v>20</v>
      </c>
      <c r="E19" s="6">
        <v>1.5E-3</v>
      </c>
      <c r="F19" s="6">
        <v>2.0999999999999999E-3</v>
      </c>
      <c r="G19" s="6">
        <v>2E-3</v>
      </c>
      <c r="H19" s="6">
        <v>2.5000000000000001E-3</v>
      </c>
      <c r="I19" s="6">
        <v>2E-3</v>
      </c>
      <c r="J19" s="7">
        <f t="shared" si="1"/>
        <v>2.0200000000000001E-3</v>
      </c>
    </row>
    <row r="20" spans="2:10" ht="18" customHeight="1" x14ac:dyDescent="0.3">
      <c r="B20" s="3" t="s">
        <v>27</v>
      </c>
      <c r="C20" s="4" t="s">
        <v>25</v>
      </c>
      <c r="D20" s="5">
        <v>25</v>
      </c>
      <c r="E20" s="6">
        <v>2.2000000000000001E-3</v>
      </c>
      <c r="F20" s="6">
        <v>2.3999999999999998E-3</v>
      </c>
      <c r="G20" s="6">
        <v>2.0999999999999999E-3</v>
      </c>
      <c r="H20" s="6">
        <v>2.5000000000000001E-3</v>
      </c>
      <c r="I20" s="6">
        <v>2.3E-3</v>
      </c>
      <c r="J20" s="7">
        <f t="shared" si="1"/>
        <v>2.3E-3</v>
      </c>
    </row>
    <row r="21" spans="2:10" ht="18" customHeight="1" x14ac:dyDescent="0.3">
      <c r="B21" s="3" t="s">
        <v>27</v>
      </c>
      <c r="C21" s="4" t="s">
        <v>25</v>
      </c>
      <c r="D21" s="5">
        <v>30</v>
      </c>
      <c r="E21" s="6">
        <v>2.3E-2</v>
      </c>
      <c r="F21" s="6">
        <v>2.3E-3</v>
      </c>
      <c r="G21" s="6">
        <v>2.3999999999999998E-3</v>
      </c>
      <c r="H21" s="6">
        <v>2.3E-3</v>
      </c>
      <c r="I21" s="6">
        <v>2.2000000000000001E-3</v>
      </c>
      <c r="J21" s="7">
        <f t="shared" si="1"/>
        <v>6.4399999999999995E-3</v>
      </c>
    </row>
    <row r="22" spans="2:10" ht="18" customHeight="1" x14ac:dyDescent="0.3">
      <c r="B22" s="8" t="s">
        <v>27</v>
      </c>
      <c r="C22" s="9" t="s">
        <v>26</v>
      </c>
      <c r="D22" s="10">
        <v>5</v>
      </c>
      <c r="E22" s="6">
        <v>1.4E-2</v>
      </c>
      <c r="F22" s="6">
        <v>1.4E-2</v>
      </c>
      <c r="G22" s="6">
        <v>1.6E-2</v>
      </c>
      <c r="H22" s="6">
        <v>1.2999999999999999E-3</v>
      </c>
      <c r="I22" s="6">
        <v>1.4E-3</v>
      </c>
      <c r="J22" s="7">
        <f t="shared" si="1"/>
        <v>9.3399999999999993E-3</v>
      </c>
    </row>
    <row r="23" spans="2:10" ht="18" customHeight="1" x14ac:dyDescent="0.3">
      <c r="B23" s="8" t="s">
        <v>27</v>
      </c>
      <c r="C23" s="9" t="s">
        <v>26</v>
      </c>
      <c r="D23" s="10">
        <v>10</v>
      </c>
      <c r="E23" s="6">
        <v>6.4999999999999997E-3</v>
      </c>
      <c r="F23" s="6">
        <v>5.0000000000000001E-3</v>
      </c>
      <c r="G23" s="6">
        <v>7.1000000000000004E-3</v>
      </c>
      <c r="H23" s="6">
        <v>7.7999999999999996E-3</v>
      </c>
      <c r="I23" s="6">
        <v>5.4999999999999997E-3</v>
      </c>
      <c r="J23" s="7">
        <f t="shared" si="1"/>
        <v>6.3799999999999994E-3</v>
      </c>
    </row>
    <row r="24" spans="2:10" ht="18" customHeight="1" x14ac:dyDescent="0.3">
      <c r="B24" s="8" t="s">
        <v>27</v>
      </c>
      <c r="C24" s="9" t="s">
        <v>26</v>
      </c>
      <c r="D24" s="10">
        <v>15</v>
      </c>
      <c r="E24" s="6">
        <v>7.2499999999999995E-2</v>
      </c>
      <c r="F24" s="6">
        <v>6.0999999999999999E-2</v>
      </c>
      <c r="G24" s="6">
        <v>7.4499999999999997E-2</v>
      </c>
      <c r="H24" s="6">
        <v>8.5800000000000001E-2</v>
      </c>
      <c r="I24" s="6">
        <v>7.8299999999999995E-2</v>
      </c>
      <c r="J24" s="7">
        <f t="shared" si="1"/>
        <v>7.442E-2</v>
      </c>
    </row>
    <row r="25" spans="2:10" ht="18" customHeight="1" x14ac:dyDescent="0.3">
      <c r="B25" s="8" t="s">
        <v>27</v>
      </c>
      <c r="C25" s="9" t="s">
        <v>26</v>
      </c>
      <c r="D25" s="10">
        <v>20</v>
      </c>
      <c r="E25" s="6">
        <v>0.47970000000000002</v>
      </c>
      <c r="F25" s="6">
        <v>0.65059999999999996</v>
      </c>
      <c r="G25" s="6">
        <v>0.47820000000000001</v>
      </c>
      <c r="H25" s="6">
        <v>0.42770000000000002</v>
      </c>
      <c r="I25" s="6">
        <v>0.3024</v>
      </c>
      <c r="J25" s="7">
        <f t="shared" si="1"/>
        <v>0.46772000000000002</v>
      </c>
    </row>
    <row r="26" spans="2:10" ht="18" customHeight="1" x14ac:dyDescent="0.3">
      <c r="B26" s="8" t="s">
        <v>27</v>
      </c>
      <c r="C26" s="9" t="s">
        <v>26</v>
      </c>
      <c r="D26" s="10">
        <v>25</v>
      </c>
      <c r="E26" s="6">
        <v>1.0530999999999999</v>
      </c>
      <c r="F26" s="6">
        <v>1.0724</v>
      </c>
      <c r="G26" s="6">
        <v>1.2995000000000001</v>
      </c>
      <c r="H26" s="6">
        <v>1.2516</v>
      </c>
      <c r="I26" s="6">
        <v>1.2445999999999999</v>
      </c>
      <c r="J26" s="7">
        <f t="shared" si="1"/>
        <v>1.18424</v>
      </c>
    </row>
    <row r="27" spans="2:10" ht="18" customHeight="1" x14ac:dyDescent="0.3">
      <c r="B27" s="8" t="s">
        <v>27</v>
      </c>
      <c r="C27" s="9" t="s">
        <v>26</v>
      </c>
      <c r="D27" s="10">
        <v>30</v>
      </c>
      <c r="E27" s="6">
        <v>4.9832000000000001</v>
      </c>
      <c r="F27" s="6">
        <v>4.9130000000000003</v>
      </c>
      <c r="G27" s="6">
        <v>4.6022999999999996</v>
      </c>
      <c r="H27" s="6">
        <v>4.1778000000000004</v>
      </c>
      <c r="I27" s="6">
        <v>4.1547000000000001</v>
      </c>
      <c r="J27" s="7">
        <f t="shared" si="1"/>
        <v>4.5662000000000003</v>
      </c>
    </row>
    <row r="29" spans="2:10" ht="18" customHeight="1" x14ac:dyDescent="0.3">
      <c r="B29" s="3" t="s">
        <v>28</v>
      </c>
      <c r="C29" s="4" t="s">
        <v>25</v>
      </c>
      <c r="D29" s="5">
        <v>100</v>
      </c>
      <c r="E29" s="6">
        <v>2E-3</v>
      </c>
      <c r="F29" s="6">
        <v>1.4E-3</v>
      </c>
      <c r="G29" s="6">
        <v>1.1999999999999999E-3</v>
      </c>
      <c r="H29" s="6">
        <v>1.8E-3</v>
      </c>
      <c r="I29" s="6">
        <v>1.4E-3</v>
      </c>
      <c r="J29" s="7">
        <f t="shared" ref="J29:J38" si="2">AVERAGE(E29:I29)</f>
        <v>1.56E-3</v>
      </c>
    </row>
    <row r="30" spans="2:10" ht="18" customHeight="1" x14ac:dyDescent="0.3">
      <c r="B30" s="3" t="s">
        <v>28</v>
      </c>
      <c r="C30" s="4" t="s">
        <v>25</v>
      </c>
      <c r="D30" s="5">
        <v>500</v>
      </c>
      <c r="E30" s="6">
        <v>1.6999999999999999E-3</v>
      </c>
      <c r="F30" s="6">
        <v>1.8E-3</v>
      </c>
      <c r="G30" s="6">
        <v>1.6000000000000001E-3</v>
      </c>
      <c r="H30" s="6">
        <v>1.6999999999999999E-3</v>
      </c>
      <c r="I30" s="6">
        <v>1.6999999999999999E-3</v>
      </c>
      <c r="J30" s="7">
        <f t="shared" si="2"/>
        <v>1.6999999999999997E-3</v>
      </c>
    </row>
    <row r="31" spans="2:10" ht="18" customHeight="1" x14ac:dyDescent="0.3">
      <c r="B31" s="3" t="s">
        <v>28</v>
      </c>
      <c r="C31" s="4" t="s">
        <v>25</v>
      </c>
      <c r="D31" s="5">
        <v>1000</v>
      </c>
      <c r="E31" s="6">
        <v>1.6000000000000001E-3</v>
      </c>
      <c r="F31" s="6">
        <v>1.6999999999999999E-3</v>
      </c>
      <c r="G31" s="6">
        <v>1.6999999999999999E-3</v>
      </c>
      <c r="H31" s="6">
        <v>1.5E-3</v>
      </c>
      <c r="I31" s="6">
        <v>1.6999999999999999E-3</v>
      </c>
      <c r="J31" s="7">
        <f t="shared" si="2"/>
        <v>1.6400000000000002E-3</v>
      </c>
    </row>
    <row r="32" spans="2:10" ht="18" customHeight="1" x14ac:dyDescent="0.3">
      <c r="B32" s="3" t="s">
        <v>28</v>
      </c>
      <c r="C32" s="4" t="s">
        <v>25</v>
      </c>
      <c r="D32" s="5">
        <v>5000</v>
      </c>
      <c r="E32" s="6">
        <v>2.3E-3</v>
      </c>
      <c r="F32" s="6">
        <v>1.9E-3</v>
      </c>
      <c r="G32" s="6">
        <v>1.9E-3</v>
      </c>
      <c r="H32" s="6">
        <v>1.8E-3</v>
      </c>
      <c r="I32" s="6">
        <v>2.3999999999999998E-3</v>
      </c>
      <c r="J32" s="7">
        <f t="shared" si="2"/>
        <v>2.0599999999999998E-3</v>
      </c>
    </row>
    <row r="33" spans="2:10" ht="18" customHeight="1" x14ac:dyDescent="0.3">
      <c r="B33" s="3" t="s">
        <v>28</v>
      </c>
      <c r="C33" s="4" t="s">
        <v>25</v>
      </c>
      <c r="D33" s="5">
        <v>10000</v>
      </c>
      <c r="E33" s="6">
        <v>1.8E-3</v>
      </c>
      <c r="F33" s="6">
        <v>1.8E-3</v>
      </c>
      <c r="G33" s="6">
        <v>1.9E-3</v>
      </c>
      <c r="H33" s="6">
        <v>1.8E-3</v>
      </c>
      <c r="I33" s="6">
        <v>1.9E-3</v>
      </c>
      <c r="J33" s="7">
        <f t="shared" si="2"/>
        <v>1.8400000000000001E-3</v>
      </c>
    </row>
    <row r="34" spans="2:10" ht="18" customHeight="1" x14ac:dyDescent="0.3">
      <c r="B34" s="8" t="s">
        <v>28</v>
      </c>
      <c r="C34" s="9" t="s">
        <v>26</v>
      </c>
      <c r="D34" s="10">
        <v>100</v>
      </c>
      <c r="E34" s="6">
        <v>1.1000000000000001E-3</v>
      </c>
      <c r="F34" s="6">
        <v>1E-3</v>
      </c>
      <c r="G34" s="6">
        <v>8.0000000000000004E-4</v>
      </c>
      <c r="H34" s="6">
        <v>1.1999999999999999E-3</v>
      </c>
      <c r="I34" s="6">
        <v>6.9999999999999999E-4</v>
      </c>
      <c r="J34" s="7">
        <f t="shared" si="2"/>
        <v>9.6000000000000013E-4</v>
      </c>
    </row>
    <row r="35" spans="2:10" ht="18" customHeight="1" x14ac:dyDescent="0.3">
      <c r="B35" s="8" t="s">
        <v>28</v>
      </c>
      <c r="C35" s="9" t="s">
        <v>26</v>
      </c>
      <c r="D35" s="10">
        <v>500</v>
      </c>
      <c r="E35" s="6">
        <v>1.1999999999999999E-3</v>
      </c>
      <c r="F35" s="6">
        <v>1.4E-3</v>
      </c>
      <c r="G35" s="6">
        <v>1.1999999999999999E-3</v>
      </c>
      <c r="H35" s="6">
        <v>1.1999999999999999E-3</v>
      </c>
      <c r="I35" s="6">
        <v>1.1999999999999999E-3</v>
      </c>
      <c r="J35" s="7">
        <f t="shared" si="2"/>
        <v>1.2399999999999998E-3</v>
      </c>
    </row>
    <row r="36" spans="2:10" ht="18" customHeight="1" x14ac:dyDescent="0.3">
      <c r="B36" s="8" t="s">
        <v>28</v>
      </c>
      <c r="C36" s="9" t="s">
        <v>26</v>
      </c>
      <c r="D36" s="10">
        <v>1000</v>
      </c>
      <c r="E36" s="6">
        <v>1.2999999999999999E-3</v>
      </c>
      <c r="F36" s="6">
        <v>1.4E-3</v>
      </c>
      <c r="G36" s="6">
        <v>1.4E-3</v>
      </c>
      <c r="H36" s="6">
        <v>1.2999999999999999E-3</v>
      </c>
      <c r="I36" s="6">
        <v>1.4E-3</v>
      </c>
      <c r="J36" s="7">
        <f t="shared" si="2"/>
        <v>1.3600000000000001E-3</v>
      </c>
    </row>
    <row r="37" spans="2:10" ht="18" customHeight="1" x14ac:dyDescent="0.3">
      <c r="B37" s="8" t="s">
        <v>28</v>
      </c>
      <c r="C37" s="9" t="s">
        <v>26</v>
      </c>
      <c r="D37" s="10">
        <v>5000</v>
      </c>
      <c r="E37" s="6">
        <v>1.1000000000000001E-3</v>
      </c>
      <c r="F37" s="6">
        <v>1.1000000000000001E-3</v>
      </c>
      <c r="G37" s="6">
        <v>1.1000000000000001E-3</v>
      </c>
      <c r="H37" s="6">
        <v>1.1000000000000001E-3</v>
      </c>
      <c r="I37" s="6">
        <v>1.2999999999999999E-3</v>
      </c>
      <c r="J37" s="7">
        <f>AVERAGE(E37:I37)</f>
        <v>1.14E-3</v>
      </c>
    </row>
    <row r="38" spans="2:10" ht="18" customHeight="1" x14ac:dyDescent="0.3">
      <c r="B38" s="8" t="s">
        <v>28</v>
      </c>
      <c r="C38" s="9" t="s">
        <v>26</v>
      </c>
      <c r="D38" s="10">
        <v>10000</v>
      </c>
      <c r="E38" s="6">
        <v>8.9999999999999998E-4</v>
      </c>
      <c r="F38" s="6">
        <v>1E-3</v>
      </c>
      <c r="G38" s="6">
        <v>8.0000000000000004E-4</v>
      </c>
      <c r="H38" s="6">
        <v>8.0000000000000004E-4</v>
      </c>
      <c r="I38" s="6">
        <v>8.9999999999999998E-4</v>
      </c>
      <c r="J38" s="7">
        <f t="shared" si="2"/>
        <v>8.8000000000000003E-4</v>
      </c>
    </row>
    <row r="40" spans="2:10" ht="18" customHeight="1" x14ac:dyDescent="0.3">
      <c r="B40" s="3" t="s">
        <v>29</v>
      </c>
      <c r="C40" s="4" t="s">
        <v>25</v>
      </c>
      <c r="D40" s="5">
        <v>100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7">
        <f t="shared" ref="J40:J49" si="3">AVERAGE(E40:I40)</f>
        <v>0</v>
      </c>
    </row>
    <row r="41" spans="2:10" ht="18" customHeight="1" x14ac:dyDescent="0.3">
      <c r="B41" s="3" t="s">
        <v>29</v>
      </c>
      <c r="C41" s="4" t="s">
        <v>25</v>
      </c>
      <c r="D41" s="5">
        <v>500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7">
        <f t="shared" si="3"/>
        <v>0</v>
      </c>
    </row>
    <row r="42" spans="2:10" ht="18" customHeight="1" x14ac:dyDescent="0.3">
      <c r="B42" s="3" t="s">
        <v>29</v>
      </c>
      <c r="C42" s="4" t="s">
        <v>25</v>
      </c>
      <c r="D42" s="5">
        <v>1000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7">
        <f t="shared" si="3"/>
        <v>0</v>
      </c>
    </row>
    <row r="43" spans="2:10" ht="18" customHeight="1" x14ac:dyDescent="0.3">
      <c r="B43" s="3" t="s">
        <v>29</v>
      </c>
      <c r="C43" s="4" t="s">
        <v>25</v>
      </c>
      <c r="D43" s="5">
        <v>5000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7">
        <f t="shared" si="3"/>
        <v>0</v>
      </c>
    </row>
    <row r="44" spans="2:10" ht="18" customHeight="1" x14ac:dyDescent="0.3">
      <c r="B44" s="3" t="s">
        <v>29</v>
      </c>
      <c r="C44" s="4" t="s">
        <v>25</v>
      </c>
      <c r="D44" s="5">
        <v>10000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7">
        <f t="shared" si="3"/>
        <v>0</v>
      </c>
    </row>
    <row r="45" spans="2:10" ht="18" customHeight="1" x14ac:dyDescent="0.3">
      <c r="B45" s="8" t="s">
        <v>29</v>
      </c>
      <c r="C45" s="9" t="s">
        <v>26</v>
      </c>
      <c r="D45" s="10">
        <v>100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7">
        <f t="shared" si="3"/>
        <v>0</v>
      </c>
    </row>
    <row r="46" spans="2:10" ht="18" customHeight="1" x14ac:dyDescent="0.3">
      <c r="B46" s="8" t="s">
        <v>29</v>
      </c>
      <c r="C46" s="9" t="s">
        <v>26</v>
      </c>
      <c r="D46" s="10">
        <v>500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7">
        <f t="shared" si="3"/>
        <v>0</v>
      </c>
    </row>
    <row r="47" spans="2:10" ht="18" customHeight="1" x14ac:dyDescent="0.3">
      <c r="B47" s="8" t="s">
        <v>29</v>
      </c>
      <c r="C47" s="9" t="s">
        <v>26</v>
      </c>
      <c r="D47" s="10">
        <v>1000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7">
        <f t="shared" si="3"/>
        <v>0</v>
      </c>
    </row>
    <row r="48" spans="2:10" ht="18" customHeight="1" x14ac:dyDescent="0.3">
      <c r="B48" s="8" t="s">
        <v>29</v>
      </c>
      <c r="C48" s="9" t="s">
        <v>26</v>
      </c>
      <c r="D48" s="10">
        <v>5000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7">
        <f t="shared" si="3"/>
        <v>0</v>
      </c>
    </row>
    <row r="49" spans="2:10" ht="18" customHeight="1" x14ac:dyDescent="0.3">
      <c r="B49" s="8" t="s">
        <v>29</v>
      </c>
      <c r="C49" s="9" t="s">
        <v>26</v>
      </c>
      <c r="D49" s="10">
        <v>10000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7">
        <f t="shared" si="3"/>
        <v>0</v>
      </c>
    </row>
    <row r="52" spans="2:10" ht="14.4" x14ac:dyDescent="0.3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31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5</v>
      </c>
      <c r="C5" s="13">
        <f>AVERAGEIFS('1. Datos_Crudos'!$J:$J,'1. Datos_Crudos'!$B:$B,"A1 - Factorial",'1. Datos_Crudos'!$C:$C,"Iterativo",'1. Datos_Crudos'!$D:$D,B5)</f>
        <v>1.7399999999999998E-3</v>
      </c>
      <c r="D5" s="14">
        <f>AVERAGEIFS('1. Datos_Crudos'!$J:$J,'1. Datos_Crudos'!$B:$B,"A1 - Factorial",'1. Datos_Crudos'!$C:$C,"Recursivo",'1. Datos_Crudos'!$D:$D,B5)</f>
        <v>1.0200000000000001E-3</v>
      </c>
    </row>
    <row r="6" spans="2:4" ht="19.5" customHeight="1" x14ac:dyDescent="0.3">
      <c r="B6" s="15">
        <v>10</v>
      </c>
      <c r="C6" s="16">
        <f>AVERAGEIFS('1. Datos_Crudos'!$J:$J,'1. Datos_Crudos'!$B:$B,"A1 - Factorial",'1. Datos_Crudos'!$C:$C,"Iterativo",'1. Datos_Crudos'!$D:$D,B6)</f>
        <v>3.3E-3</v>
      </c>
      <c r="D6" s="17">
        <f>AVERAGEIFS('1. Datos_Crudos'!$J:$J,'1. Datos_Crudos'!$B:$B,"A1 - Factorial",'1. Datos_Crudos'!$C:$C,"Recursivo",'1. Datos_Crudos'!$D:$D,B6)</f>
        <v>1.14E-3</v>
      </c>
    </row>
    <row r="7" spans="2:4" ht="19.5" customHeight="1" x14ac:dyDescent="0.3">
      <c r="B7" s="12">
        <v>15</v>
      </c>
      <c r="C7" s="13">
        <f>AVERAGEIFS('1. Datos_Crudos'!$J:$J,'1. Datos_Crudos'!$B:$B,"A1 - Factorial",'1. Datos_Crudos'!$C:$C,"Iterativo",'1. Datos_Crudos'!$D:$D,B7)</f>
        <v>2.3799999999999997E-3</v>
      </c>
      <c r="D7" s="14">
        <f>AVERAGEIFS('1. Datos_Crudos'!$J:$J,'1. Datos_Crudos'!$B:$B,"A1 - Factorial",'1. Datos_Crudos'!$C:$C,"Recursivo",'1. Datos_Crudos'!$D:$D,B7)</f>
        <v>1.5799999999999998E-3</v>
      </c>
    </row>
    <row r="8" spans="2:4" ht="19.5" customHeight="1" x14ac:dyDescent="0.3">
      <c r="B8" s="15">
        <v>20</v>
      </c>
      <c r="C8" s="16">
        <f>AVERAGEIFS('1. Datos_Crudos'!$J:$J,'1. Datos_Crudos'!$B:$B,"A1 - Factorial",'1. Datos_Crudos'!$C:$C,"Iterativo",'1. Datos_Crudos'!$D:$D,B8)</f>
        <v>1.8800000000000002E-3</v>
      </c>
      <c r="D8" s="17">
        <f>AVERAGEIFS('1. Datos_Crudos'!$J:$J,'1. Datos_Crudos'!$B:$B,"A1 - Factorial",'1. Datos_Crudos'!$C:$C,"Recursivo",'1. Datos_Crudos'!$D:$D,B8)</f>
        <v>1.3600000000000001E-3</v>
      </c>
    </row>
    <row r="9" spans="2:4" ht="19.5" customHeight="1" x14ac:dyDescent="0.3">
      <c r="B9" s="12">
        <v>25</v>
      </c>
      <c r="C9" s="13">
        <f>AVERAGEIFS('1. Datos_Crudos'!$J:$J,'1. Datos_Crudos'!$B:$B,"A1 - Factorial",'1. Datos_Crudos'!$C:$C,"Iterativo",'1. Datos_Crudos'!$D:$D,B9)</f>
        <v>2.16E-3</v>
      </c>
      <c r="D9" s="14">
        <f>AVERAGEIFS('1. Datos_Crudos'!$J:$J,'1. Datos_Crudos'!$B:$B,"A1 - Factorial",'1. Datos_Crudos'!$C:$C,"Recursivo",'1. Datos_Crudos'!$D:$D,B9)</f>
        <v>1.5200000000000001E-3</v>
      </c>
    </row>
    <row r="10" spans="2:4" ht="19.5" customHeight="1" x14ac:dyDescent="0.3">
      <c r="B10" s="15">
        <v>30</v>
      </c>
      <c r="C10" s="16">
        <f>AVERAGEIFS('1. Datos_Crudos'!$J:$J,'1. Datos_Crudos'!$B:$B,"A1 - Factorial",'1. Datos_Crudos'!$C:$C,"Iterativo",'1. Datos_Crudos'!$D:$D,B10)</f>
        <v>1.8800000000000004E-3</v>
      </c>
      <c r="D10" s="17">
        <f>AVERAGEIFS('1. Datos_Crudos'!$J:$J,'1. Datos_Crudos'!$B:$B,"A1 - Factorial",'1. Datos_Crudos'!$C:$C,"Recursivo",'1. Datos_Crudos'!$D:$D,B10)</f>
        <v>1.5200000000000001E-3</v>
      </c>
    </row>
    <row r="12" spans="2:4" ht="39.75" customHeight="1" x14ac:dyDescent="0.3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38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8" t="s">
        <v>39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40</v>
      </c>
    </row>
    <row r="5" spans="2:4" ht="19.5" customHeight="1" x14ac:dyDescent="0.3">
      <c r="B5" s="12">
        <v>5</v>
      </c>
      <c r="C5" s="13">
        <f>AVERAGEIFS('1. Datos_Crudos'!$J:$J,'1. Datos_Crudos'!$B:$B,"A2 - Fibonacci",'1. Datos_Crudos'!$C:$C,"Iterativo",'1. Datos_Crudos'!$D:$D,B5)</f>
        <v>2.32E-3</v>
      </c>
      <c r="D5" s="19">
        <f>AVERAGEIFS('1. Datos_Crudos'!$J:$J,'1. Datos_Crudos'!$B:$B,"A2 - Fibonacci",'1. Datos_Crudos'!$C:$C,"Recursivo",'1. Datos_Crudos'!$D:$D,B5)</f>
        <v>9.3399999999999993E-3</v>
      </c>
    </row>
    <row r="6" spans="2:4" ht="19.5" customHeight="1" x14ac:dyDescent="0.3">
      <c r="B6" s="15">
        <v>10</v>
      </c>
      <c r="C6" s="16">
        <f>AVERAGEIFS('1. Datos_Crudos'!$J:$J,'1. Datos_Crudos'!$B:$B,"A2 - Fibonacci",'1. Datos_Crudos'!$C:$C,"Iterativo",'1. Datos_Crudos'!$D:$D,B6)</f>
        <v>2.0200000000000001E-3</v>
      </c>
      <c r="D6" s="20">
        <f>AVERAGEIFS('1. Datos_Crudos'!$J:$J,'1. Datos_Crudos'!$B:$B,"A2 - Fibonacci",'1. Datos_Crudos'!$C:$C,"Recursivo",'1. Datos_Crudos'!$D:$D,B6)</f>
        <v>6.3799999999999994E-3</v>
      </c>
    </row>
    <row r="7" spans="2:4" ht="19.5" customHeight="1" x14ac:dyDescent="0.3">
      <c r="B7" s="12">
        <v>15</v>
      </c>
      <c r="C7" s="13">
        <f>AVERAGEIFS('1. Datos_Crudos'!$J:$J,'1. Datos_Crudos'!$B:$B,"A2 - Fibonacci",'1. Datos_Crudos'!$C:$C,"Iterativo",'1. Datos_Crudos'!$D:$D,B7)</f>
        <v>2.1199999999999999E-3</v>
      </c>
      <c r="D7" s="19">
        <f>AVERAGEIFS('1. Datos_Crudos'!$J:$J,'1. Datos_Crudos'!$B:$B,"A2 - Fibonacci",'1. Datos_Crudos'!$C:$C,"Recursivo",'1. Datos_Crudos'!$D:$D,B7)</f>
        <v>7.442E-2</v>
      </c>
    </row>
    <row r="8" spans="2:4" ht="19.5" customHeight="1" x14ac:dyDescent="0.3">
      <c r="B8" s="15">
        <v>20</v>
      </c>
      <c r="C8" s="16">
        <f>AVERAGEIFS('1. Datos_Crudos'!$J:$J,'1. Datos_Crudos'!$B:$B,"A2 - Fibonacci",'1. Datos_Crudos'!$C:$C,"Iterativo",'1. Datos_Crudos'!$D:$D,B8)</f>
        <v>2.0200000000000001E-3</v>
      </c>
      <c r="D8" s="20">
        <f>AVERAGEIFS('1. Datos_Crudos'!$J:$J,'1. Datos_Crudos'!$B:$B,"A2 - Fibonacci",'1. Datos_Crudos'!$C:$C,"Recursivo",'1. Datos_Crudos'!$D:$D,B8)</f>
        <v>0.46772000000000002</v>
      </c>
    </row>
    <row r="9" spans="2:4" ht="19.5" customHeight="1" x14ac:dyDescent="0.3">
      <c r="B9" s="12">
        <v>25</v>
      </c>
      <c r="C9" s="13">
        <f>AVERAGEIFS('1. Datos_Crudos'!$J:$J,'1. Datos_Crudos'!$B:$B,"A2 - Fibonacci",'1. Datos_Crudos'!$C:$C,"Iterativo",'1. Datos_Crudos'!$D:$D,B9)</f>
        <v>2.3E-3</v>
      </c>
      <c r="D9" s="19">
        <f>AVERAGEIFS('1. Datos_Crudos'!$J:$J,'1. Datos_Crudos'!$B:$B,"A2 - Fibonacci",'1. Datos_Crudos'!$C:$C,"Recursivo",'1. Datos_Crudos'!$D:$D,B9)</f>
        <v>1.18424</v>
      </c>
    </row>
    <row r="10" spans="2:4" ht="19.5" customHeight="1" x14ac:dyDescent="0.3">
      <c r="B10" s="15">
        <v>30</v>
      </c>
      <c r="C10" s="16">
        <f>AVERAGEIFS('1. Datos_Crudos'!$J:$J,'1. Datos_Crudos'!$B:$B,"A2 - Fibonacci",'1. Datos_Crudos'!$C:$C,"Iterativo",'1. Datos_Crudos'!$D:$D,B10)</f>
        <v>6.4399999999999995E-3</v>
      </c>
      <c r="D10" s="20">
        <f>AVERAGEIFS('1. Datos_Crudos'!$J:$J,'1. Datos_Crudos'!$B:$B,"A2 - Fibonacci",'1. Datos_Crudos'!$C:$C,"Recursivo",'1. Datos_Crudos'!$D:$D,B10)</f>
        <v>4.5662000000000003</v>
      </c>
    </row>
    <row r="12" spans="2:4" ht="39.75" customHeight="1" x14ac:dyDescent="0.3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42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100</v>
      </c>
      <c r="C5" s="13">
        <f>AVERAGEIFS('1. Datos_Crudos'!$J:$J,'1. Datos_Crudos'!$B:$B,"A3 - Busqueda Lineal",'1. Datos_Crudos'!$C:$C,"Iterativo",'1. Datos_Crudos'!$D:$D,B5)</f>
        <v>1.56E-3</v>
      </c>
      <c r="D5" s="14">
        <f>AVERAGEIFS('1. Datos_Crudos'!$J:$J,'1. Datos_Crudos'!$B:$B,"A3 - Busqueda Lineal",'1. Datos_Crudos'!$C:$C,"Recursivo",'1. Datos_Crudos'!$D:$D,B5)</f>
        <v>9.6000000000000013E-4</v>
      </c>
    </row>
    <row r="6" spans="2:4" ht="19.5" customHeight="1" x14ac:dyDescent="0.3">
      <c r="B6" s="15">
        <v>500</v>
      </c>
      <c r="C6" s="16">
        <f>AVERAGEIFS('1. Datos_Crudos'!$J:$J,'1. Datos_Crudos'!$B:$B,"A3 - Busqueda Lineal",'1. Datos_Crudos'!$C:$C,"Iterativo",'1. Datos_Crudos'!$D:$D,B6)</f>
        <v>1.6999999999999997E-3</v>
      </c>
      <c r="D6" s="17">
        <f>AVERAGEIFS('1. Datos_Crudos'!$J:$J,'1. Datos_Crudos'!$B:$B,"A3 - Busqueda Lineal",'1. Datos_Crudos'!$C:$C,"Recursivo",'1. Datos_Crudos'!$D:$D,B6)</f>
        <v>1.2399999999999998E-3</v>
      </c>
    </row>
    <row r="7" spans="2:4" ht="19.5" customHeight="1" x14ac:dyDescent="0.3">
      <c r="B7" s="12">
        <v>1000</v>
      </c>
      <c r="C7" s="13">
        <f>AVERAGEIFS('1. Datos_Crudos'!$J:$J,'1. Datos_Crudos'!$B:$B,"A3 - Busqueda Lineal",'1. Datos_Crudos'!$C:$C,"Iterativo",'1. Datos_Crudos'!$D:$D,B7)</f>
        <v>1.6400000000000002E-3</v>
      </c>
      <c r="D7" s="14">
        <f>AVERAGEIFS('1. Datos_Crudos'!$J:$J,'1. Datos_Crudos'!$B:$B,"A3 - Busqueda Lineal",'1. Datos_Crudos'!$C:$C,"Recursivo",'1. Datos_Crudos'!$D:$D,B7)</f>
        <v>1.3600000000000001E-3</v>
      </c>
    </row>
    <row r="8" spans="2:4" ht="19.5" customHeight="1" x14ac:dyDescent="0.3">
      <c r="B8" s="15">
        <v>5000</v>
      </c>
      <c r="C8" s="16">
        <f>AVERAGEIFS('1. Datos_Crudos'!$J:$J,'1. Datos_Crudos'!$B:$B,"A3 - Busqueda Lineal",'1. Datos_Crudos'!$C:$C,"Iterativo",'1. Datos_Crudos'!$D:$D,B8)</f>
        <v>2.0599999999999998E-3</v>
      </c>
      <c r="D8" s="17">
        <f>AVERAGEIFS('1. Datos_Crudos'!$J:$J,'1. Datos_Crudos'!$B:$B,"A3 - Busqueda Lineal",'1. Datos_Crudos'!$C:$C,"Recursivo",'1. Datos_Crudos'!$D:$D,B8)</f>
        <v>1.14E-3</v>
      </c>
    </row>
    <row r="9" spans="2:4" ht="19.5" customHeight="1" x14ac:dyDescent="0.3">
      <c r="B9" s="12">
        <v>10000</v>
      </c>
      <c r="C9" s="13">
        <f>AVERAGEIFS('1. Datos_Crudos'!$J:$J,'1. Datos_Crudos'!$B:$B,"A3 - Busqueda Lineal",'1. Datos_Crudos'!$C:$C,"Iterativo",'1. Datos_Crudos'!$D:$D,B9)</f>
        <v>1.8400000000000001E-3</v>
      </c>
      <c r="D9" s="14">
        <f>AVERAGEIFS('1. Datos_Crudos'!$J:$J,'1. Datos_Crudos'!$B:$B,"A3 - Busqueda Lineal",'1. Datos_Crudos'!$C:$C,"Recursivo",'1. Datos_Crudos'!$D:$D,B9)</f>
        <v>8.8000000000000003E-4</v>
      </c>
    </row>
    <row r="11" spans="2:4" ht="39.75" customHeight="1" x14ac:dyDescent="0.3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>
      <selection activeCell="D6" sqref="D6"/>
    </sheetView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44</v>
      </c>
      <c r="C1" s="38"/>
      <c r="D1" s="38"/>
    </row>
    <row r="2" spans="2:4" ht="21.75" customHeight="1" x14ac:dyDescent="0.3">
      <c r="B2" s="3" t="s">
        <v>32</v>
      </c>
      <c r="C2" s="11" t="s">
        <v>45</v>
      </c>
      <c r="D2" s="11" t="s">
        <v>46</v>
      </c>
    </row>
    <row r="3" spans="2:4" ht="9.75" customHeight="1" x14ac:dyDescent="0.3"/>
    <row r="4" spans="2:4" ht="30" customHeight="1" x14ac:dyDescent="0.3">
      <c r="B4" s="1" t="s">
        <v>17</v>
      </c>
      <c r="C4" s="1" t="s">
        <v>47</v>
      </c>
      <c r="D4" s="2" t="s">
        <v>48</v>
      </c>
    </row>
    <row r="5" spans="2:4" ht="19.5" customHeight="1" x14ac:dyDescent="0.3">
      <c r="B5" s="12">
        <v>100</v>
      </c>
      <c r="C5" s="13">
        <f>AVERAGEIFS('1. Datos_Crudos'!$J:$J,'1. Datos_Crudos'!$B:$B,"A4 - Burbuja",'1. Datos_Crudos'!$C:$C,"Iterativo",'1. Datos_Crudos'!$D:$D,B5)</f>
        <v>0</v>
      </c>
      <c r="D5" s="14">
        <f>AVERAGEIFS('1. Datos_Crudos'!$J:$J,'1. Datos_Crudos'!$B:$B,"A4 - Burbuja",'1. Datos_Crudos'!$C:$C,"Recursivo",'1. Datos_Crudos'!$D:$D,B5)</f>
        <v>0</v>
      </c>
    </row>
    <row r="6" spans="2:4" ht="19.5" customHeight="1" x14ac:dyDescent="0.3">
      <c r="B6" s="15">
        <v>500</v>
      </c>
      <c r="C6" s="16">
        <f>AVERAGEIFS('1. Datos_Crudos'!$J:$J,'1. Datos_Crudos'!$B:$B,"A4 - Burbuja",'1. Datos_Crudos'!$C:$C,"Iterativo",'1. Datos_Crudos'!$D:$D,B6)</f>
        <v>0</v>
      </c>
      <c r="D6" s="17">
        <f>AVERAGEIFS('1. Datos_Crudos'!$J:$J,'1. Datos_Crudos'!$B:$B,"A4 - Burbuja",'1. Datos_Crudos'!$C:$C,"Recursivo",'1. Datos_Crudos'!$D:$D,B6)</f>
        <v>0</v>
      </c>
    </row>
    <row r="7" spans="2:4" ht="19.5" customHeight="1" x14ac:dyDescent="0.3">
      <c r="B7" s="12">
        <v>1000</v>
      </c>
      <c r="C7" s="13">
        <f>AVERAGEIFS('1. Datos_Crudos'!$J:$J,'1. Datos_Crudos'!$B:$B,"A4 - Burbuja",'1. Datos_Crudos'!$C:$C,"Iterativo",'1. Datos_Crudos'!$D:$D,B7)</f>
        <v>0</v>
      </c>
      <c r="D7" s="14">
        <f>AVERAGEIFS('1. Datos_Crudos'!$J:$J,'1. Datos_Crudos'!$B:$B,"A4 - Burbuja",'1. Datos_Crudos'!$C:$C,"Recursivo",'1. Datos_Crudos'!$D:$D,B7)</f>
        <v>0</v>
      </c>
    </row>
    <row r="8" spans="2:4" ht="19.5" customHeight="1" x14ac:dyDescent="0.3">
      <c r="B8" s="15">
        <v>5000</v>
      </c>
      <c r="C8" s="16">
        <f>AVERAGEIFS('1. Datos_Crudos'!$J:$J,'1. Datos_Crudos'!$B:$B,"A4 - Burbuja",'1. Datos_Crudos'!$C:$C,"Iterativo",'1. Datos_Crudos'!$D:$D,B8)</f>
        <v>0</v>
      </c>
      <c r="D8" s="17">
        <f>AVERAGEIFS('1. Datos_Crudos'!$J:$J,'1. Datos_Crudos'!$B:$B,"A4 - Burbuja",'1. Datos_Crudos'!$C:$C,"Recursivo",'1. Datos_Crudos'!$D:$D,B8)</f>
        <v>0</v>
      </c>
    </row>
    <row r="9" spans="2:4" ht="19.5" customHeight="1" x14ac:dyDescent="0.3">
      <c r="B9" s="12">
        <v>10000</v>
      </c>
      <c r="C9" s="13">
        <f>AVERAGEIFS('1. Datos_Crudos'!$J:$J,'1. Datos_Crudos'!$B:$B,"A4 - Burbuja",'1. Datos_Crudos'!$C:$C,"Iterativo",'1. Datos_Crudos'!$D:$D,B9)</f>
        <v>0</v>
      </c>
      <c r="D9" s="14">
        <f>AVERAGEIFS('1. Datos_Crudos'!$J:$J,'1. Datos_Crudos'!$B:$B,"A4 - Burbuja",'1. Datos_Crudos'!$C:$C,"Recursivo",'1. Datos_Crudos'!$D:$D,B9)</f>
        <v>0</v>
      </c>
    </row>
    <row r="11" spans="2:4" ht="39.75" customHeight="1" x14ac:dyDescent="0.3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3">
      <c r="B1" s="38" t="s">
        <v>50</v>
      </c>
      <c r="C1" s="38"/>
      <c r="D1" s="38"/>
      <c r="E1" s="38"/>
      <c r="F1" s="38"/>
      <c r="G1" s="38"/>
    </row>
    <row r="2" spans="2:7" ht="9.75" customHeight="1" x14ac:dyDescent="0.3"/>
    <row r="3" spans="2:7" ht="30" customHeight="1" x14ac:dyDescent="0.3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3">
      <c r="B4" s="23" t="s">
        <v>24</v>
      </c>
      <c r="C4" s="24" t="s">
        <v>25</v>
      </c>
      <c r="D4" s="25" t="s">
        <v>55</v>
      </c>
      <c r="E4" s="23" t="s">
        <v>33</v>
      </c>
      <c r="F4" s="26" t="s">
        <v>56</v>
      </c>
      <c r="G4" s="27"/>
    </row>
    <row r="5" spans="2:7" ht="21.75" customHeight="1" x14ac:dyDescent="0.3">
      <c r="B5" s="28" t="s">
        <v>24</v>
      </c>
      <c r="C5" s="29" t="s">
        <v>26</v>
      </c>
      <c r="D5" s="25" t="s">
        <v>55</v>
      </c>
      <c r="E5" s="28" t="s">
        <v>33</v>
      </c>
      <c r="F5" s="26" t="s">
        <v>56</v>
      </c>
      <c r="G5" s="27"/>
    </row>
    <row r="6" spans="2:7" ht="21.75" customHeight="1" x14ac:dyDescent="0.3">
      <c r="B6" s="23" t="s">
        <v>27</v>
      </c>
      <c r="C6" s="24" t="s">
        <v>25</v>
      </c>
      <c r="D6" s="25" t="s">
        <v>55</v>
      </c>
      <c r="E6" s="23" t="s">
        <v>33</v>
      </c>
      <c r="F6" s="26" t="s">
        <v>56</v>
      </c>
      <c r="G6" s="27"/>
    </row>
    <row r="7" spans="2:7" ht="21.75" customHeight="1" x14ac:dyDescent="0.3">
      <c r="B7" s="28" t="s">
        <v>27</v>
      </c>
      <c r="C7" s="29" t="s">
        <v>26</v>
      </c>
      <c r="D7" s="25" t="s">
        <v>55</v>
      </c>
      <c r="E7" s="28" t="s">
        <v>57</v>
      </c>
      <c r="F7" s="26" t="s">
        <v>56</v>
      </c>
      <c r="G7" s="27"/>
    </row>
    <row r="8" spans="2:7" ht="21.75" customHeight="1" x14ac:dyDescent="0.3">
      <c r="B8" s="23" t="s">
        <v>28</v>
      </c>
      <c r="C8" s="24" t="s">
        <v>25</v>
      </c>
      <c r="D8" s="25" t="s">
        <v>55</v>
      </c>
      <c r="E8" s="23" t="s">
        <v>33</v>
      </c>
      <c r="F8" s="26" t="s">
        <v>56</v>
      </c>
      <c r="G8" s="27"/>
    </row>
    <row r="9" spans="2:7" ht="21.75" customHeight="1" x14ac:dyDescent="0.3">
      <c r="B9" s="28" t="s">
        <v>28</v>
      </c>
      <c r="C9" s="29" t="s">
        <v>26</v>
      </c>
      <c r="D9" s="25" t="s">
        <v>55</v>
      </c>
      <c r="E9" s="28" t="s">
        <v>33</v>
      </c>
      <c r="F9" s="26" t="s">
        <v>56</v>
      </c>
      <c r="G9" s="27"/>
    </row>
    <row r="10" spans="2:7" ht="21.75" customHeight="1" x14ac:dyDescent="0.3">
      <c r="B10" s="23" t="s">
        <v>29</v>
      </c>
      <c r="C10" s="24" t="s">
        <v>25</v>
      </c>
      <c r="D10" s="25" t="s">
        <v>55</v>
      </c>
      <c r="E10" s="23" t="s">
        <v>45</v>
      </c>
      <c r="F10" s="26" t="s">
        <v>56</v>
      </c>
      <c r="G10" s="27"/>
    </row>
    <row r="11" spans="2:7" ht="21.75" customHeight="1" x14ac:dyDescent="0.3">
      <c r="B11" s="28" t="s">
        <v>29</v>
      </c>
      <c r="C11" s="29" t="s">
        <v>26</v>
      </c>
      <c r="D11" s="25" t="s">
        <v>55</v>
      </c>
      <c r="E11" s="28" t="s">
        <v>45</v>
      </c>
      <c r="F11" s="26" t="s">
        <v>56</v>
      </c>
      <c r="G11" s="27"/>
    </row>
    <row r="14" spans="2:7" ht="7.5" customHeight="1" x14ac:dyDescent="0.3"/>
    <row r="15" spans="2:7" ht="15" customHeight="1" x14ac:dyDescent="0.3">
      <c r="B15" s="42" t="s">
        <v>58</v>
      </c>
      <c r="C15" s="42"/>
      <c r="D15" s="42"/>
      <c r="E15" s="42"/>
      <c r="F15" s="42"/>
      <c r="G15" s="42"/>
    </row>
    <row r="16" spans="2:7" ht="19.5" customHeight="1" x14ac:dyDescent="0.3">
      <c r="B16" s="3" t="s">
        <v>59</v>
      </c>
      <c r="C16" s="43" t="s">
        <v>60</v>
      </c>
      <c r="D16" s="43"/>
      <c r="E16" s="43"/>
      <c r="F16" s="43"/>
      <c r="G16" s="43"/>
    </row>
    <row r="17" spans="2:7" ht="19.5" customHeight="1" x14ac:dyDescent="0.3">
      <c r="B17" s="8" t="s">
        <v>61</v>
      </c>
      <c r="C17" s="44" t="s">
        <v>62</v>
      </c>
      <c r="D17" s="44"/>
      <c r="E17" s="44"/>
      <c r="F17" s="44"/>
      <c r="G17" s="44"/>
    </row>
    <row r="18" spans="2:7" ht="19.5" customHeight="1" x14ac:dyDescent="0.3">
      <c r="B18" s="3" t="s">
        <v>63</v>
      </c>
      <c r="C18" s="43" t="s">
        <v>64</v>
      </c>
      <c r="D18" s="43"/>
      <c r="E18" s="43"/>
      <c r="F18" s="43"/>
      <c r="G18" s="43"/>
    </row>
    <row r="19" spans="2:7" ht="19.5" customHeight="1" x14ac:dyDescent="0.3">
      <c r="B19" s="30" t="s">
        <v>65</v>
      </c>
      <c r="C19" s="41" t="s">
        <v>66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Fernando Cojom Pineda</cp:lastModifiedBy>
  <cp:revision>1</cp:revision>
  <dcterms:created xsi:type="dcterms:W3CDTF">2026-02-20T06:55:59Z</dcterms:created>
  <dcterms:modified xsi:type="dcterms:W3CDTF">2026-03-04T03:53:14Z</dcterms:modified>
  <dc:language>en-US</dc:language>
</cp:coreProperties>
</file>